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IER\Porto\"/>
    </mc:Choice>
  </mc:AlternateContent>
  <xr:revisionPtr revIDLastSave="0" documentId="13_ncr:1_{5CC8F58E-3FBD-4BD0-9468-F868CAB6561A}" xr6:coauthVersionLast="47" xr6:coauthVersionMax="47" xr10:uidLastSave="{00000000-0000-0000-0000-000000000000}"/>
  <bookViews>
    <workbookView xWindow="-110" yWindow="-110" windowWidth="19420" windowHeight="10300" activeTab="3" xr2:uid="{459ECAF8-EBE2-4A19-ADB7-9740C0353E1E}"/>
  </bookViews>
  <sheets>
    <sheet name="kategori" sheetId="1" r:id="rId1"/>
    <sheet name="diskon" sheetId="2" r:id="rId2"/>
    <sheet name="region" sheetId="3" r:id="rId3"/>
    <sheet name="Dashboard" sheetId="5" r:id="rId4"/>
  </sheets>
  <externalReferences>
    <externalReference r:id="rId5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G6" i="5"/>
  <c r="D6" i="5"/>
  <c r="A6" i="5"/>
</calcChain>
</file>

<file path=xl/sharedStrings.xml><?xml version="1.0" encoding="utf-8"?>
<sst xmlns="http://schemas.openxmlformats.org/spreadsheetml/2006/main" count="28" uniqueCount="25">
  <si>
    <t>Category</t>
  </si>
  <si>
    <t>total_sales</t>
  </si>
  <si>
    <t>total_profit</t>
  </si>
  <si>
    <t>profit_margin_pct</t>
  </si>
  <si>
    <t>Technology</t>
  </si>
  <si>
    <t>Furniture</t>
  </si>
  <si>
    <t>Office Supplies</t>
  </si>
  <si>
    <t>kelompok_diskon</t>
  </si>
  <si>
    <t>jumlah_transaksi</t>
  </si>
  <si>
    <t>rata_rata_profit</t>
  </si>
  <si>
    <t>1. Tanpa diskon</t>
  </si>
  <si>
    <t>2. Diskon kecil (&lt;=20%)</t>
  </si>
  <si>
    <t>3. Diskon besar (&gt;20%)</t>
  </si>
  <si>
    <t>Region</t>
  </si>
  <si>
    <t>transaksi_diskon_besar</t>
  </si>
  <si>
    <t>pct_diskon_besar</t>
  </si>
  <si>
    <t>Central</t>
  </si>
  <si>
    <t>East</t>
  </si>
  <si>
    <t>South</t>
  </si>
  <si>
    <t>West</t>
  </si>
  <si>
    <t>Superstore Sales Analysis: Dampak Diskon terhadap Profit</t>
  </si>
  <si>
    <t>TOTAL SALES</t>
  </si>
  <si>
    <t>TOTAL PROFIT</t>
  </si>
  <si>
    <t>JUMLAH TRANSAKSI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</si>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</sst>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rgb="FFFFFFFF"/>
      <name val="Arial"/>
      <charset val="1"/>
    </font>
    <font>
      <b/>
      <sz val="9"/>
      <color rgb="FF6B7280"/>
      <name val="Arial"/>
      <charset val="1"/>
    </font>
    <font>
      <b/>
      <sz val="24"/>
      <color rgb="FF1F3A5F"/>
      <name val="Arial"/>
      <charset val="1"/>
    </font>
    <font>
      <i/>
      <sz val="10"/>
      <color rgb="FF6B7280"/>
      <name val="Arial"/>
      <charset val="1"/>
    </font>
    <font>
      <i/>
      <sz val="9"/>
      <color rgb="FF6B7280"/>
      <name val="Arial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F3A5F"/>
        <bgColor rgb="FF333333"/>
      </patternFill>
    </fill>
    <fill>
      <patternFill patternType="solid">
        <fgColor rgb="FFF3F5F9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AE3"/>
      </left>
      <right style="thin">
        <color rgb="FFD5DAE3"/>
      </right>
      <top style="thick">
        <color rgb="FFD4A62A"/>
      </top>
      <bottom/>
      <diagonal/>
    </border>
    <border>
      <left style="thin">
        <color rgb="FFD5DAE3"/>
      </left>
      <right style="thin">
        <color rgb="FFD5DAE3"/>
      </right>
      <top/>
      <bottom style="thin">
        <color rgb="FFD5DAE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18" fillId="34" borderId="0" xfId="0" applyFont="1" applyFill="1" applyAlignment="1">
      <alignment horizontal="left" vertical="center" indent="1"/>
    </xf>
    <xf numFmtId="0" fontId="19" fillId="35" borderId="11" xfId="0" applyFont="1" applyFill="1" applyBorder="1" applyAlignment="1">
      <alignment horizontal="center" vertical="center"/>
    </xf>
    <xf numFmtId="3" fontId="20" fillId="35" borderId="12" xfId="0" applyNumberFormat="1" applyFont="1" applyFill="1" applyBorder="1" applyAlignment="1">
      <alignment horizontal="center" vertical="center"/>
    </xf>
    <xf numFmtId="164" fontId="20" fillId="35" borderId="12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indent="1"/>
    </xf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Furniture: sales tinggi, profit tipis</a:t>
            </a:r>
            <a:endParaRPr lang="en-ID"/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kategori!$B$1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kategori!$A$2:$A$4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kategori!$B$2:$B$4</c:f>
              <c:numCache>
                <c:formatCode>General</c:formatCode>
                <c:ptCount val="3"/>
                <c:pt idx="0">
                  <c:v>836154.03</c:v>
                </c:pt>
                <c:pt idx="1">
                  <c:v>741999.8</c:v>
                </c:pt>
                <c:pt idx="2">
                  <c:v>719047.03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B-43F8-BF2F-A78F0193E893}"/>
            </c:ext>
          </c:extLst>
        </c:ser>
        <c:ser>
          <c:idx val="1"/>
          <c:order val="1"/>
          <c:tx>
            <c:strRef>
              <c:f>kategori!$C$1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kategori!$A$2:$A$4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kategori!$C$2:$C$4</c:f>
              <c:numCache>
                <c:formatCode>General</c:formatCode>
                <c:ptCount val="3"/>
                <c:pt idx="0">
                  <c:v>145454.95000000001</c:v>
                </c:pt>
                <c:pt idx="1">
                  <c:v>18451.27</c:v>
                </c:pt>
                <c:pt idx="2">
                  <c:v>122490.8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5B-43F8-BF2F-A78F0193E8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86527"/>
        <c:axId val="2136686256"/>
      </c:barChart>
      <c:catAx>
        <c:axId val="618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686256"/>
        <c:crosses val="autoZero"/>
        <c:auto val="1"/>
        <c:lblAlgn val="ctr"/>
        <c:lblOffset val="100"/>
        <c:noMultiLvlLbl val="0"/>
      </c:catAx>
      <c:valAx>
        <c:axId val="213668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Diskon di atas 20%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diskon!$C$1</c:f>
              <c:strCache>
                <c:ptCount val="1"/>
                <c:pt idx="0">
                  <c:v>rata_rata_profit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1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diskon!$A$2:$A$4</c:f>
              <c:strCache>
                <c:ptCount val="3"/>
                <c:pt idx="0">
                  <c:v>1. Tanpa diskon</c:v>
                </c:pt>
                <c:pt idx="1">
                  <c:v>2. Diskon kecil (&lt;=20%)</c:v>
                </c:pt>
                <c:pt idx="2">
                  <c:v>3. Diskon besar (&gt;20%)</c:v>
                </c:pt>
              </c:strCache>
            </c:strRef>
          </c:cat>
          <c:val>
            <c:numRef>
              <c:f>diskon!$C$2:$C$4</c:f>
              <c:numCache>
                <c:formatCode>General</c:formatCode>
                <c:ptCount val="3"/>
                <c:pt idx="0">
                  <c:v>66.900000000000006</c:v>
                </c:pt>
                <c:pt idx="1">
                  <c:v>26.5</c:v>
                </c:pt>
                <c:pt idx="2">
                  <c:v>-97.18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0070C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CBAF-4D7E-8B5B-ABB699386A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6646752"/>
        <c:axId val="87672111"/>
      </c:barChart>
      <c:catAx>
        <c:axId val="158664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2111"/>
        <c:crosses val="autoZero"/>
        <c:auto val="1"/>
        <c:lblAlgn val="ctr"/>
        <c:lblOffset val="100"/>
        <c:noMultiLvlLbl val="0"/>
      </c:catAx>
      <c:valAx>
        <c:axId val="8767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64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Region sering diskon besar, dengan profitnya kecil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region!$D$1</c:f>
              <c:strCache>
                <c:ptCount val="1"/>
                <c:pt idx="0">
                  <c:v>pct_diskon_besar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region!$A$2:$A$5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region!$D$2:$D$5</c:f>
              <c:numCache>
                <c:formatCode>General</c:formatCode>
                <c:ptCount val="4"/>
                <c:pt idx="0">
                  <c:v>27.68</c:v>
                </c:pt>
                <c:pt idx="1">
                  <c:v>16.190000000000001</c:v>
                </c:pt>
                <c:pt idx="2">
                  <c:v>10.56</c:v>
                </c:pt>
                <c:pt idx="3">
                  <c:v>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6-4D05-9790-F05B150BC9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340431"/>
        <c:axId val="87779151"/>
      </c:barChart>
      <c:lineChart>
        <c:grouping val="standard"/>
        <c:varyColors val="0"/>
        <c:ser>
          <c:idx val="1"/>
          <c:order val="1"/>
          <c:tx>
            <c:strRef>
              <c:f>region!$E$1</c:f>
              <c:strCache>
                <c:ptCount val="1"/>
                <c:pt idx="0">
                  <c:v>total_profit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region!$A$2:$A$5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region!$E$2:$E$5</c:f>
              <c:numCache>
                <c:formatCode>General</c:formatCode>
                <c:ptCount val="4"/>
                <c:pt idx="0">
                  <c:v>39706.36</c:v>
                </c:pt>
                <c:pt idx="1">
                  <c:v>91522.78</c:v>
                </c:pt>
                <c:pt idx="2">
                  <c:v>46749.43</c:v>
                </c:pt>
                <c:pt idx="3">
                  <c:v>108418.45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36-4D05-9790-F05B150BC9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0343215"/>
        <c:axId val="87655311"/>
      </c:lineChart>
      <c:catAx>
        <c:axId val="17034043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79151"/>
        <c:crosses val="autoZero"/>
        <c:auto val="1"/>
        <c:lblAlgn val="ctr"/>
        <c:lblOffset val="100"/>
        <c:noMultiLvlLbl val="0"/>
      </c:catAx>
      <c:valAx>
        <c:axId val="8777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/>
                  <a:t>% transaksi diskon &gt;20%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40431"/>
        <c:crosses val="autoZero"/>
        <c:crossBetween val="between"/>
      </c:valAx>
      <c:valAx>
        <c:axId val="876553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Total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43215"/>
        <c:crosses val="max"/>
        <c:crossBetween val="between"/>
      </c:valAx>
      <c:catAx>
        <c:axId val="1703432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6553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D" sz="1200" b="1" strike="noStrike" spc="-1">
                <a:solidFill>
                  <a:srgbClr val="1F3A5F"/>
                </a:solidFill>
                <a:latin typeface="Arial"/>
              </a:rPr>
              <a:t>Furniture: sales tinggi, profit tipis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[1]kategori!$A$2:$A$4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[1]kategori!$B$2:$B$4</c:f>
              <c:numCache>
                <c:formatCode>General</c:formatCode>
                <c:ptCount val="3"/>
                <c:pt idx="0">
                  <c:v>836154.03</c:v>
                </c:pt>
                <c:pt idx="1">
                  <c:v>741999.8</c:v>
                </c:pt>
                <c:pt idx="2">
                  <c:v>719047.03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7-4344-85F9-289E79D47F48}"/>
            </c:ext>
          </c:extLst>
        </c:ser>
        <c:ser>
          <c:idx val="1"/>
          <c:order val="1"/>
          <c:tx>
            <c:v>Profit</c:v>
          </c:tx>
          <c:spPr>
            <a:solidFill>
              <a:srgbClr val="D4A62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[1]kategori!$A$2:$A$4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[1]kategori!$C$2:$C$4</c:f>
              <c:numCache>
                <c:formatCode>General</c:formatCode>
                <c:ptCount val="3"/>
                <c:pt idx="0">
                  <c:v>145454.95000000001</c:v>
                </c:pt>
                <c:pt idx="1">
                  <c:v>18451.27</c:v>
                </c:pt>
                <c:pt idx="2">
                  <c:v>122490.8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E7-4344-85F9-289E79D47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4189136"/>
        <c:axId val="42716972"/>
      </c:barChart>
      <c:catAx>
        <c:axId val="1418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716972"/>
        <c:crosses val="autoZero"/>
        <c:auto val="1"/>
        <c:lblAlgn val="ctr"/>
        <c:lblOffset val="100"/>
        <c:noMultiLvlLbl val="0"/>
      </c:catAx>
      <c:valAx>
        <c:axId val="42716972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1891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D" sz="1200" b="1" strike="noStrike" spc="-1">
                <a:solidFill>
                  <a:srgbClr val="1F3A5F"/>
                </a:solidFill>
                <a:latin typeface="Arial"/>
              </a:rPr>
              <a:t>Rata-rata profit per transaksi, berdasarkan diskon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Rata-rata profit</c:v>
          </c:tx>
          <c:spPr>
            <a:solidFill>
              <a:srgbClr val="1F3A5F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B26-4434-9B9B-6BA4D8DBB34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B26-4434-9B9B-6BA4D8DBB347}"/>
              </c:ext>
            </c:extLst>
          </c:dPt>
          <c:dPt>
            <c:idx val="2"/>
            <c:invertIfNegative val="0"/>
            <c:bubble3D val="0"/>
            <c:spPr>
              <a:solidFill>
                <a:srgbClr val="C039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B26-4434-9B9B-6BA4D8DBB34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26-4434-9B9B-6BA4D8DBB34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26-4434-9B9B-6BA4D8DBB34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26-4434-9B9B-6BA4D8DBB3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[1]diskon!$A$2:$A$4</c:f>
              <c:strCache>
                <c:ptCount val="3"/>
                <c:pt idx="0">
                  <c:v>Tanpa diskon</c:v>
                </c:pt>
                <c:pt idx="1">
                  <c:v>Diskon kecil (&lt;=20%)</c:v>
                </c:pt>
                <c:pt idx="2">
                  <c:v>Diskon besar (&gt;20%)</c:v>
                </c:pt>
              </c:strCache>
            </c:strRef>
          </c:cat>
          <c:val>
            <c:numRef>
              <c:f>[1]diskon!$C$2:$C$4</c:f>
              <c:numCache>
                <c:formatCode>General</c:formatCode>
                <c:ptCount val="3"/>
                <c:pt idx="0">
                  <c:v>66.900000000000006</c:v>
                </c:pt>
                <c:pt idx="1">
                  <c:v>26.5</c:v>
                </c:pt>
                <c:pt idx="2">
                  <c:v>-97.18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26-4434-9B9B-6BA4D8DBB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5038610"/>
        <c:axId val="72903205"/>
      </c:barChart>
      <c:catAx>
        <c:axId val="150386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903205"/>
        <c:crosses val="autoZero"/>
        <c:auto val="1"/>
        <c:lblAlgn val="ctr"/>
        <c:lblOffset val="100"/>
        <c:noMultiLvlLbl val="0"/>
      </c:catAx>
      <c:valAx>
        <c:axId val="72903205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0386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D" sz="1200" b="1" strike="noStrike" spc="-1">
                <a:solidFill>
                  <a:srgbClr val="1F3A5F"/>
                </a:solidFill>
                <a:latin typeface="Arial"/>
              </a:rPr>
              <a:t>Region yang sering diskon besar, dengan profit kecil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transaksi diskon &gt;20%</c:v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[1]region!$A$2:$A$5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[1]region!$D$2:$D$5</c:f>
              <c:numCache>
                <c:formatCode>General</c:formatCode>
                <c:ptCount val="4"/>
                <c:pt idx="0">
                  <c:v>27.68</c:v>
                </c:pt>
                <c:pt idx="1">
                  <c:v>16.190000000000001</c:v>
                </c:pt>
                <c:pt idx="2">
                  <c:v>10.56</c:v>
                </c:pt>
                <c:pt idx="3">
                  <c:v>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C-4B79-BC11-ACADA8BD7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3914523"/>
        <c:axId val="50925198"/>
      </c:barChart>
      <c:lineChart>
        <c:grouping val="standard"/>
        <c:varyColors val="0"/>
        <c:ser>
          <c:idx val="1"/>
          <c:order val="1"/>
          <c:tx>
            <c:v>Total profit</c:v>
          </c:tx>
          <c:spPr>
            <a:ln w="32040">
              <a:solidFill>
                <a:srgbClr val="D4A62A"/>
              </a:solidFill>
              <a:round/>
            </a:ln>
          </c:spPr>
          <c:marker>
            <c:symbol val="circle"/>
            <c:size val="8"/>
            <c:spPr>
              <a:solidFill>
                <a:srgbClr val="D4A62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[1]region!$A$2:$A$5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[1]region!$E$2:$E$5</c:f>
              <c:numCache>
                <c:formatCode>General</c:formatCode>
                <c:ptCount val="4"/>
                <c:pt idx="0">
                  <c:v>39706.36</c:v>
                </c:pt>
                <c:pt idx="1">
                  <c:v>91522.78</c:v>
                </c:pt>
                <c:pt idx="2">
                  <c:v>46749.43</c:v>
                </c:pt>
                <c:pt idx="3">
                  <c:v>108418.45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7C-4B79-BC11-ACADA8BD7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3467345"/>
        <c:axId val="42541672"/>
      </c:lineChart>
      <c:catAx>
        <c:axId val="139145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925198"/>
        <c:crosses val="autoZero"/>
        <c:auto val="1"/>
        <c:lblAlgn val="ctr"/>
        <c:lblOffset val="100"/>
        <c:noMultiLvlLbl val="0"/>
      </c:catAx>
      <c:valAx>
        <c:axId val="50925198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% transaksi diskon &gt;20%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14523"/>
        <c:crosses val="autoZero"/>
        <c:crossBetween val="between"/>
      </c:valAx>
      <c:catAx>
        <c:axId val="5346734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541672"/>
        <c:crosses val="autoZero"/>
        <c:auto val="1"/>
        <c:lblAlgn val="ctr"/>
        <c:lblOffset val="100"/>
        <c:noMultiLvlLbl val="0"/>
      </c:catAx>
      <c:valAx>
        <c:axId val="4254167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Total 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6734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0</xdr:row>
      <xdr:rowOff>12700</xdr:rowOff>
    </xdr:from>
    <xdr:to>
      <xdr:col>13</xdr:col>
      <xdr:colOff>219075</xdr:colOff>
      <xdr:row>14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116E71-DEAD-5C53-2F09-760550E6B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587375</xdr:colOff>
      <xdr:row>0</xdr:row>
      <xdr:rowOff>0</xdr:rowOff>
    </xdr:from>
    <xdr:to>
      <xdr:col>12</xdr:col>
      <xdr:colOff>282575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6D03F0-2A1B-5B53-8DA3-5C30FE70F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365125</xdr:colOff>
      <xdr:row>0</xdr:row>
      <xdr:rowOff>12700</xdr:rowOff>
    </xdr:from>
    <xdr:to>
      <xdr:col>14</xdr:col>
      <xdr:colOff>517525</xdr:colOff>
      <xdr:row>14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7A619C-BB88-1D30-266E-C3BF0E5F1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6</xdr:col>
      <xdr:colOff>102100</xdr:colOff>
      <xdr:row>24</xdr:row>
      <xdr:rowOff>11520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2ECF5C-C8BB-49BF-A9BB-5A9342459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0</xdr:rowOff>
    </xdr:from>
    <xdr:to>
      <xdr:col>12</xdr:col>
      <xdr:colOff>102100</xdr:colOff>
      <xdr:row>24</xdr:row>
      <xdr:rowOff>11520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77AB32-7019-437A-9DE4-F581FFF12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12</xdr:col>
      <xdr:colOff>384560</xdr:colOff>
      <xdr:row>44</xdr:row>
      <xdr:rowOff>3871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3FC702-DDCD-479A-AD9F-7B8FD1EC5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dashboard_superstore.xlsx" TargetMode="External"/><Relationship Id="rId1" Type="http://schemas.openxmlformats.org/officeDocument/2006/relationships/externalLinkPath" Target="file:///C:\Users\ASUS\Downloads\dashboard_supersto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kategori"/>
      <sheetName val="diskon"/>
      <sheetName val="region"/>
    </sheetNames>
    <sheetDataSet>
      <sheetData sheetId="0" refreshError="1"/>
      <sheetData sheetId="1">
        <row r="2">
          <cell r="A2" t="str">
            <v>Technology</v>
          </cell>
          <cell r="B2">
            <v>836154.03</v>
          </cell>
          <cell r="C2">
            <v>145454.95000000001</v>
          </cell>
        </row>
        <row r="3">
          <cell r="A3" t="str">
            <v>Furniture</v>
          </cell>
          <cell r="B3">
            <v>741999.8</v>
          </cell>
          <cell r="C3">
            <v>18451.27</v>
          </cell>
        </row>
        <row r="4">
          <cell r="A4" t="str">
            <v>Office Supplies</v>
          </cell>
          <cell r="B4">
            <v>719047.03</v>
          </cell>
          <cell r="C4">
            <v>122490.8</v>
          </cell>
        </row>
      </sheetData>
      <sheetData sheetId="2">
        <row r="2">
          <cell r="A2" t="str">
            <v>Tanpa diskon</v>
          </cell>
          <cell r="C2">
            <v>66.900000000000006</v>
          </cell>
        </row>
        <row r="3">
          <cell r="A3" t="str">
            <v>Diskon kecil (&lt;=20%)</v>
          </cell>
          <cell r="C3">
            <v>26.5</v>
          </cell>
        </row>
        <row r="4">
          <cell r="A4" t="str">
            <v>Diskon besar (&gt;20%)</v>
          </cell>
          <cell r="C4">
            <v>-97.18</v>
          </cell>
        </row>
      </sheetData>
      <sheetData sheetId="3">
        <row r="2">
          <cell r="A2" t="str">
            <v>Central</v>
          </cell>
          <cell r="D2">
            <v>27.68</v>
          </cell>
          <cell r="E2">
            <v>39706.36</v>
          </cell>
        </row>
        <row r="3">
          <cell r="A3" t="str">
            <v>East</v>
          </cell>
          <cell r="D3">
            <v>16.190000000000001</v>
          </cell>
          <cell r="E3">
            <v>91522.78</v>
          </cell>
        </row>
        <row r="4">
          <cell r="A4" t="str">
            <v>South</v>
          </cell>
          <cell r="D4">
            <v>10.56</v>
          </cell>
          <cell r="E4">
            <v>46749.43</v>
          </cell>
        </row>
        <row r="5">
          <cell r="A5" t="str">
            <v>West</v>
          </cell>
          <cell r="D5">
            <v>3.68</v>
          </cell>
          <cell r="E5">
            <v>108418.45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5F41-48F0-45D6-B1A7-01766BFE107D}">
  <dimension ref="A1:D4"/>
  <sheetViews>
    <sheetView workbookViewId="0">
      <selection activeCell="C8" sqref="C8"/>
    </sheetView>
  </sheetViews>
  <sheetFormatPr defaultRowHeight="14.5" x14ac:dyDescent="0.35"/>
  <cols>
    <col min="1" max="1" width="13.1796875" bestFit="1" customWidth="1"/>
    <col min="2" max="2" width="9.81640625" bestFit="1" customWidth="1"/>
    <col min="3" max="3" width="10.26953125" bestFit="1" customWidth="1"/>
    <col min="4" max="4" width="15.90625" bestFit="1" customWidth="1"/>
    <col min="15" max="15" width="0" hidden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>
        <v>836154.03</v>
      </c>
      <c r="C2" s="1">
        <v>145454.95000000001</v>
      </c>
      <c r="D2" s="1">
        <v>17.399999999999999</v>
      </c>
    </row>
    <row r="3" spans="1:4" x14ac:dyDescent="0.35">
      <c r="A3" s="1" t="s">
        <v>5</v>
      </c>
      <c r="B3" s="1">
        <v>741999.8</v>
      </c>
      <c r="C3" s="1">
        <v>18451.27</v>
      </c>
      <c r="D3" s="1">
        <v>2.4900000000000002</v>
      </c>
    </row>
    <row r="4" spans="1:4" x14ac:dyDescent="0.35">
      <c r="A4" s="1" t="s">
        <v>6</v>
      </c>
      <c r="B4" s="1">
        <v>719047.03</v>
      </c>
      <c r="C4" s="1">
        <v>122490.8</v>
      </c>
      <c r="D4" s="1">
        <v>17.04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D38A-DFCD-43E6-8B6D-E8B6013AD6B2}">
  <dimension ref="A1:D4"/>
  <sheetViews>
    <sheetView workbookViewId="0">
      <selection activeCell="O10" sqref="O10"/>
    </sheetView>
  </sheetViews>
  <sheetFormatPr defaultRowHeight="14.5" x14ac:dyDescent="0.35"/>
  <cols>
    <col min="1" max="1" width="19.90625" bestFit="1" customWidth="1"/>
  </cols>
  <sheetData>
    <row r="1" spans="1:4" x14ac:dyDescent="0.35">
      <c r="A1" t="s">
        <v>7</v>
      </c>
      <c r="B1" t="s">
        <v>8</v>
      </c>
      <c r="C1" t="s">
        <v>9</v>
      </c>
      <c r="D1" t="s">
        <v>2</v>
      </c>
    </row>
    <row r="2" spans="1:4" x14ac:dyDescent="0.35">
      <c r="A2" t="s">
        <v>10</v>
      </c>
      <c r="B2">
        <v>4798</v>
      </c>
      <c r="C2">
        <v>66.900000000000006</v>
      </c>
      <c r="D2">
        <v>320987.59999999998</v>
      </c>
    </row>
    <row r="3" spans="1:4" x14ac:dyDescent="0.35">
      <c r="A3" t="s">
        <v>11</v>
      </c>
      <c r="B3">
        <v>3803</v>
      </c>
      <c r="C3">
        <v>26.5</v>
      </c>
      <c r="D3">
        <v>100785.47</v>
      </c>
    </row>
    <row r="4" spans="1:4" x14ac:dyDescent="0.35">
      <c r="A4" t="s">
        <v>12</v>
      </c>
      <c r="B4">
        <v>1393</v>
      </c>
      <c r="C4">
        <v>-97.18</v>
      </c>
      <c r="D4">
        <v>-135376.06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2E22-5E51-4E4A-995F-DDCD87C8B3FD}">
  <dimension ref="A1:E5"/>
  <sheetViews>
    <sheetView workbookViewId="0">
      <selection sqref="A1:E1"/>
    </sheetView>
  </sheetViews>
  <sheetFormatPr defaultRowHeight="14.5" x14ac:dyDescent="0.35"/>
  <cols>
    <col min="2" max="2" width="15.08984375" bestFit="1" customWidth="1"/>
    <col min="4" max="4" width="15.54296875" bestFit="1" customWidth="1"/>
    <col min="5" max="5" width="10.26953125" bestFit="1" customWidth="1"/>
  </cols>
  <sheetData>
    <row r="1" spans="1:5" x14ac:dyDescent="0.35">
      <c r="A1" s="2" t="s">
        <v>13</v>
      </c>
      <c r="B1" s="2" t="s">
        <v>8</v>
      </c>
      <c r="C1" s="2" t="s">
        <v>14</v>
      </c>
      <c r="D1" s="2" t="s">
        <v>15</v>
      </c>
      <c r="E1" s="2" t="s">
        <v>2</v>
      </c>
    </row>
    <row r="2" spans="1:5" x14ac:dyDescent="0.35">
      <c r="A2" s="1" t="s">
        <v>16</v>
      </c>
      <c r="B2" s="1">
        <v>2323</v>
      </c>
      <c r="C2" s="1">
        <v>643</v>
      </c>
      <c r="D2" s="1">
        <v>27.68</v>
      </c>
      <c r="E2" s="1">
        <v>39706.36</v>
      </c>
    </row>
    <row r="3" spans="1:5" x14ac:dyDescent="0.35">
      <c r="A3" s="1" t="s">
        <v>17</v>
      </c>
      <c r="B3" s="1">
        <v>2848</v>
      </c>
      <c r="C3" s="1">
        <v>461</v>
      </c>
      <c r="D3" s="1">
        <v>16.190000000000001</v>
      </c>
      <c r="E3" s="1">
        <v>91522.78</v>
      </c>
    </row>
    <row r="4" spans="1:5" x14ac:dyDescent="0.35">
      <c r="A4" s="1" t="s">
        <v>18</v>
      </c>
      <c r="B4" s="1">
        <v>1620</v>
      </c>
      <c r="C4" s="1">
        <v>171</v>
      </c>
      <c r="D4" s="1">
        <v>10.56</v>
      </c>
      <c r="E4" s="1">
        <v>46749.43</v>
      </c>
    </row>
    <row r="5" spans="1:5" x14ac:dyDescent="0.35">
      <c r="A5" s="1" t="s">
        <v>19</v>
      </c>
      <c r="B5" s="1">
        <v>3203</v>
      </c>
      <c r="C5" s="1">
        <v>118</v>
      </c>
      <c r="D5" s="1">
        <v>3.68</v>
      </c>
      <c r="E5" s="1">
        <v>108418.45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9B713-0F4A-473C-89ED-BAB40F3D7BCF}">
  <dimension ref="A1:L47"/>
  <sheetViews>
    <sheetView showGridLines="0" tabSelected="1" topLeftCell="A14" zoomScale="62" zoomScaleNormal="62" workbookViewId="0">
      <selection activeCell="P33" sqref="P33"/>
    </sheetView>
  </sheetViews>
  <sheetFormatPr defaultColWidth="8.6328125" defaultRowHeight="14.5" x14ac:dyDescent="0.35"/>
  <cols>
    <col min="1" max="12" width="14.54296875" customWidth="1"/>
  </cols>
  <sheetData>
    <row r="1" spans="1:12" ht="21.75" customHeight="1" x14ac:dyDescent="0.35">
      <c r="A1" s="3" t="s">
        <v>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1.75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5" spans="1:12" ht="19.5" customHeight="1" thickTop="1" x14ac:dyDescent="0.35">
      <c r="A5" s="4" t="s">
        <v>21</v>
      </c>
      <c r="B5" s="4"/>
      <c r="C5" s="4"/>
      <c r="D5" s="4" t="s">
        <v>22</v>
      </c>
      <c r="E5" s="4"/>
      <c r="F5" s="4"/>
      <c r="G5" s="4" t="s">
        <v>23</v>
      </c>
      <c r="H5" s="4"/>
      <c r="I5" s="4"/>
      <c r="J5" s="4" t="s">
        <v>24</v>
      </c>
      <c r="K5" s="4"/>
      <c r="L5" s="4"/>
    </row>
    <row r="6" spans="1:12" x14ac:dyDescent="0.35">
      <c r="A6" s="5">
        <f>SUM(kategori!B2:B4)</f>
        <v>2297200.8600000003</v>
      </c>
      <c r="B6" s="5"/>
      <c r="C6" s="5"/>
      <c r="D6" s="5">
        <f>SUM(kategori!C2:C4)</f>
        <v>286397.02</v>
      </c>
      <c r="E6" s="5"/>
      <c r="F6" s="5"/>
      <c r="G6" s="5">
        <f>SUM(region!B2:B5)</f>
        <v>9994</v>
      </c>
      <c r="H6" s="5"/>
      <c r="I6" s="5"/>
      <c r="J6" s="6">
        <f>SUM(kategori!C2:C4)/SUM(kategori!B2:B4)</f>
        <v>0.12467217167940638</v>
      </c>
      <c r="K6" s="6"/>
      <c r="L6" s="6"/>
    </row>
    <row r="7" spans="1:12" x14ac:dyDescent="0.35">
      <c r="A7" s="5"/>
      <c r="B7" s="5"/>
      <c r="C7" s="5"/>
      <c r="D7" s="5"/>
      <c r="E7" s="5"/>
      <c r="F7" s="5"/>
      <c r="G7" s="5"/>
      <c r="H7" s="5"/>
      <c r="I7" s="5"/>
      <c r="J7" s="6"/>
      <c r="K7" s="6"/>
      <c r="L7" s="6"/>
    </row>
    <row r="47" spans="1:1" x14ac:dyDescent="0.35">
      <c r="A47" s="8"/>
    </row>
  </sheetData>
  <mergeCells count="10">
    <mergeCell ref="A6:C7"/>
    <mergeCell ref="D6:F7"/>
    <mergeCell ref="G6:I7"/>
    <mergeCell ref="J6:L7"/>
    <mergeCell ref="A1:L2"/>
    <mergeCell ref="A3:L3"/>
    <mergeCell ref="A5:C5"/>
    <mergeCell ref="D5:F5"/>
    <mergeCell ref="G5:I5"/>
    <mergeCell ref="J5:L5"/>
  </mergeCells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kategori</vt:lpstr>
      <vt:lpstr>diskon</vt:lpstr>
      <vt:lpstr>region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 N Qolbi Hadiat</dc:creator>
  <cp:lastModifiedBy>Aisha Nurul Qolbi. H</cp:lastModifiedBy>
  <cp:lastPrinted>2026-10-05T02:21:24Z</cp:lastPrinted>
  <dcterms:created xsi:type="dcterms:W3CDTF">2026-10-05T01:44:17Z</dcterms:created>
  <dcterms:modified xsi:type="dcterms:W3CDTF">2026-10-05T02:22:31Z</dcterms:modified>
</cp:coreProperties>
</file>